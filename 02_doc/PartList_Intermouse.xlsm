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 (GeneralMechatronics)\GM_drive\PROJECTS\MicroMouseTeams\Intermouse_2017\03_doc\"/>
    </mc:Choice>
  </mc:AlternateContent>
  <bookViews>
    <workbookView xWindow="4560" yWindow="705" windowWidth="12120" windowHeight="8640" tabRatio="749"/>
  </bookViews>
  <sheets>
    <sheet name="Intermouse" sheetId="11" r:id="rId1"/>
  </sheets>
  <definedNames>
    <definedName name="AR">30</definedName>
  </definedNames>
  <calcPr calcId="152511"/>
</workbook>
</file>

<file path=xl/calcChain.xml><?xml version="1.0" encoding="utf-8"?>
<calcChain xmlns="http://schemas.openxmlformats.org/spreadsheetml/2006/main">
  <c r="G5" i="11" l="1"/>
  <c r="G7" i="11"/>
  <c r="G8" i="11"/>
  <c r="G12" i="11"/>
  <c r="G13" i="11"/>
  <c r="D28" i="11" l="1"/>
  <c r="G27" i="11" l="1"/>
  <c r="I5" i="11" l="1"/>
  <c r="K5" i="11" s="1"/>
  <c r="L5" i="11"/>
  <c r="I6" i="11"/>
  <c r="J6" i="11" s="1"/>
  <c r="L6" i="11"/>
  <c r="I25" i="11"/>
  <c r="K25" i="11" s="1"/>
  <c r="L25" i="11"/>
  <c r="L26" i="11"/>
  <c r="D29" i="11"/>
  <c r="J25" i="11" l="1"/>
  <c r="J5" i="11"/>
  <c r="L27" i="11"/>
  <c r="K6" i="11"/>
  <c r="K27" i="11" s="1"/>
  <c r="H27" i="11"/>
  <c r="J27" i="11" l="1"/>
</calcChain>
</file>

<file path=xl/sharedStrings.xml><?xml version="1.0" encoding="utf-8"?>
<sst xmlns="http://schemas.openxmlformats.org/spreadsheetml/2006/main" count="56" uniqueCount="47">
  <si>
    <t>Alkatrész</t>
  </si>
  <si>
    <t>db /termék</t>
  </si>
  <si>
    <t>Br. Ár</t>
  </si>
  <si>
    <t>Egy termék Br ár*db</t>
  </si>
  <si>
    <t>Vásárlás    Br ár*db</t>
  </si>
  <si>
    <t>Készlet értéke</t>
  </si>
  <si>
    <t>Beszerzés</t>
  </si>
  <si>
    <t>Cikkszám</t>
  </si>
  <si>
    <t>Megjegyzés</t>
  </si>
  <si>
    <t>Tokozás</t>
  </si>
  <si>
    <t>Value</t>
  </si>
  <si>
    <t>SMD/TH</t>
  </si>
  <si>
    <t>SMD</t>
  </si>
  <si>
    <t>Össz nett ktg.</t>
  </si>
  <si>
    <t>Alkatrész attribútumok</t>
  </si>
  <si>
    <t>Költségkalkuláció</t>
  </si>
  <si>
    <t>Beszállító</t>
  </si>
  <si>
    <t>Nett. alkatrész ár</t>
  </si>
  <si>
    <t>dbSMD:</t>
  </si>
  <si>
    <t>dbTH:</t>
  </si>
  <si>
    <t>Össz nett alkatrész ár</t>
  </si>
  <si>
    <t>Link</t>
  </si>
  <si>
    <t>Intermouse 2017</t>
  </si>
  <si>
    <t>STM32F103C8T6</t>
  </si>
  <si>
    <t>LQFP48</t>
  </si>
  <si>
    <t>MPU6050</t>
  </si>
  <si>
    <t>QFN24</t>
  </si>
  <si>
    <t>DRV8836DSSR</t>
  </si>
  <si>
    <t>WSON(DSS) 12</t>
  </si>
  <si>
    <t>http://hu.mouser.com/ProductDetail/OSRAM-Opto-Semiconductors/SFH-4545/?qs=sGAEpiMZZMtjb30GAx%2fDT3jQ62O9d7JB%2fJ4aBDFAdus%3d</t>
  </si>
  <si>
    <t>SFH4545</t>
  </si>
  <si>
    <t>TH</t>
  </si>
  <si>
    <t>LTR4206</t>
  </si>
  <si>
    <t>Farnell</t>
  </si>
  <si>
    <t>MPU-6050</t>
  </si>
  <si>
    <t>http://hu.farnell.com/invensense/mpu-6050/gyro-accel-6-axis-i2c-qfn-24/dp/1864742</t>
  </si>
  <si>
    <t>Texas Instruments</t>
  </si>
  <si>
    <t>Mouser</t>
  </si>
  <si>
    <t>http://hu.farnell.com/stmicroelectronics/stm32f103c8t6/mcu-32bit-cortex-m3-72mhz-lqfp/dp/1447637?exaMfpn=true&amp;categoryId=&amp;searchRef=SearchLookAhead&amp;searchView=table&amp;iscrfnonsku=false</t>
  </si>
  <si>
    <t>https://store.ti.com/DRV8836DSSR.aspx</t>
  </si>
  <si>
    <t>ha rosszul sikerulne a forrasztas, 1 mar van</t>
  </si>
  <si>
    <t>a mikrokontrollert es a mpu6050-t szukseg eseten ki tudjuk dev-boardokbol is forrasztani</t>
  </si>
  <si>
    <t>720-SFH4545</t>
  </si>
  <si>
    <t>http://hu.mouser.com/ProductDetail/Lite-On/LTR-4206/?qs=sGAEpiMZZMs50KUSuyRkprGS7TLuiZ89%252bkW7hQEBFcY%3d</t>
  </si>
  <si>
    <t>859-LTR-4206</t>
  </si>
  <si>
    <t>Van a fiókban, megvan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</si>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</sst>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\d\b"/>
    <numFmt numFmtId="165" formatCode="#,##0.00\ &quot;Ft&quot;"/>
    <numFmt numFmtId="166" formatCode="0.0&quot; m&quot;"/>
    <numFmt numFmtId="167" formatCode="0&quot; perc&quot;"/>
    <numFmt numFmtId="168" formatCode="0&quot; Ft/h&quot;"/>
    <numFmt numFmtId="169" formatCode="#&quot; db&quot;"/>
    <numFmt numFmtId="170" formatCode="##&quot; db&quot;"/>
  </numFmts>
  <fonts count="6" x14ac:knownFonts="1">
    <font>
      <sz val="10"/>
      <name val="Arial CE"/>
      <charset val="238"/>
    </font>
    <font>
      <u/>
      <sz val="10"/>
      <color indexed="12"/>
      <name val="Arial CE"/>
      <charset val="238"/>
    </font>
    <font>
      <sz val="8"/>
      <name val="Arial CE"/>
      <charset val="238"/>
    </font>
    <font>
      <b/>
      <sz val="16"/>
      <name val="Arial CE"/>
      <charset val="238"/>
    </font>
    <font>
      <sz val="10"/>
      <name val="Arial CE"/>
      <family val="2"/>
      <charset val="238"/>
    </font>
    <font>
      <b/>
      <sz val="10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66FF3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6" xfId="0" applyFill="1" applyBorder="1"/>
    <xf numFmtId="165" fontId="0" fillId="0" borderId="7" xfId="0" applyNumberFormat="1" applyBorder="1"/>
    <xf numFmtId="0" fontId="0" fillId="0" borderId="7" xfId="0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Fill="1" applyBorder="1"/>
    <xf numFmtId="0" fontId="0" fillId="0" borderId="13" xfId="0" applyFill="1" applyBorder="1"/>
    <xf numFmtId="165" fontId="0" fillId="0" borderId="12" xfId="0" applyNumberFormat="1" applyFill="1" applyBorder="1"/>
    <xf numFmtId="0" fontId="0" fillId="0" borderId="12" xfId="0" applyBorder="1" applyAlignment="1">
      <alignment horizontal="center"/>
    </xf>
    <xf numFmtId="0" fontId="4" fillId="0" borderId="13" xfId="1" applyFont="1" applyFill="1" applyBorder="1" applyAlignment="1" applyProtection="1">
      <alignment wrapText="1"/>
    </xf>
    <xf numFmtId="165" fontId="4" fillId="0" borderId="12" xfId="1" applyNumberFormat="1" applyFont="1" applyBorder="1" applyAlignment="1" applyProtection="1">
      <alignment wrapText="1"/>
    </xf>
    <xf numFmtId="165" fontId="0" fillId="0" borderId="12" xfId="0" applyNumberFormat="1" applyBorder="1" applyAlignment="1">
      <alignment wrapText="1"/>
    </xf>
    <xf numFmtId="165" fontId="0" fillId="0" borderId="12" xfId="0" applyNumberFormat="1" applyFill="1" applyBorder="1" applyAlignment="1">
      <alignment wrapText="1"/>
    </xf>
    <xf numFmtId="49" fontId="0" fillId="0" borderId="10" xfId="0" applyNumberFormat="1" applyBorder="1" applyAlignment="1">
      <alignment horizontal="center"/>
    </xf>
    <xf numFmtId="165" fontId="0" fillId="0" borderId="7" xfId="0" applyNumberFormat="1" applyFill="1" applyBorder="1"/>
    <xf numFmtId="49" fontId="0" fillId="0" borderId="13" xfId="0" applyNumberFormat="1" applyBorder="1" applyAlignment="1">
      <alignment horizontal="center"/>
    </xf>
    <xf numFmtId="0" fontId="0" fillId="0" borderId="10" xfId="0" applyBorder="1"/>
    <xf numFmtId="165" fontId="0" fillId="0" borderId="7" xfId="0" applyNumberFormat="1" applyBorder="1" applyAlignment="1">
      <alignment vertical="center"/>
    </xf>
    <xf numFmtId="0" fontId="0" fillId="0" borderId="12" xfId="0" applyBorder="1" applyAlignment="1">
      <alignment horizontal="center" vertical="center"/>
    </xf>
    <xf numFmtId="165" fontId="0" fillId="0" borderId="12" xfId="0" applyNumberFormat="1" applyBorder="1"/>
    <xf numFmtId="49" fontId="0" fillId="0" borderId="13" xfId="0" applyNumberForma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164" fontId="0" fillId="0" borderId="18" xfId="0" applyNumberFormat="1" applyBorder="1"/>
    <xf numFmtId="165" fontId="0" fillId="0" borderId="16" xfId="0" applyNumberFormat="1" applyBorder="1" applyAlignment="1">
      <alignment wrapText="1"/>
    </xf>
    <xf numFmtId="165" fontId="0" fillId="0" borderId="16" xfId="0" applyNumberFormat="1" applyBorder="1"/>
    <xf numFmtId="0" fontId="0" fillId="0" borderId="16" xfId="0" applyBorder="1" applyAlignment="1">
      <alignment horizontal="center"/>
    </xf>
    <xf numFmtId="49" fontId="0" fillId="0" borderId="17" xfId="0" applyNumberFormat="1" applyBorder="1" applyAlignment="1">
      <alignment horizontal="left"/>
    </xf>
    <xf numFmtId="0" fontId="0" fillId="0" borderId="19" xfId="0" applyBorder="1" applyAlignment="1">
      <alignment horizontal="center"/>
    </xf>
    <xf numFmtId="165" fontId="0" fillId="0" borderId="0" xfId="0" applyNumberFormat="1" applyBorder="1" applyAlignment="1"/>
    <xf numFmtId="0" fontId="0" fillId="0" borderId="0" xfId="0" applyBorder="1" applyAlignment="1"/>
    <xf numFmtId="165" fontId="0" fillId="0" borderId="21" xfId="0" applyNumberFormat="1" applyBorder="1" applyAlignment="1"/>
    <xf numFmtId="0" fontId="0" fillId="0" borderId="0" xfId="0" applyBorder="1" applyAlignment="1">
      <alignment vertical="center" wrapText="1"/>
    </xf>
    <xf numFmtId="168" fontId="0" fillId="0" borderId="0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164" fontId="0" fillId="0" borderId="0" xfId="0" applyNumberFormat="1" applyFill="1" applyBorder="1"/>
    <xf numFmtId="165" fontId="0" fillId="0" borderId="0" xfId="0" applyNumberFormat="1" applyFill="1" applyBorder="1"/>
    <xf numFmtId="49" fontId="0" fillId="0" borderId="0" xfId="0" applyNumberFormat="1" applyFill="1" applyBorder="1" applyAlignment="1">
      <alignment horizontal="center"/>
    </xf>
    <xf numFmtId="165" fontId="0" fillId="0" borderId="0" xfId="0" applyNumberFormat="1" applyFill="1" applyBorder="1" applyAlignment="1">
      <alignment wrapText="1"/>
    </xf>
    <xf numFmtId="0" fontId="0" fillId="0" borderId="0" xfId="0" applyFill="1" applyBorder="1" applyAlignment="1">
      <alignment wrapText="1"/>
    </xf>
    <xf numFmtId="166" fontId="0" fillId="0" borderId="0" xfId="0" applyNumberFormat="1" applyFill="1" applyBorder="1"/>
    <xf numFmtId="165" fontId="0" fillId="0" borderId="0" xfId="0" applyNumberFormat="1" applyFill="1" applyBorder="1" applyAlignment="1"/>
    <xf numFmtId="165" fontId="0" fillId="0" borderId="12" xfId="0" applyNumberFormat="1" applyFill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11" xfId="0" applyFill="1" applyBorder="1"/>
    <xf numFmtId="0" fontId="0" fillId="0" borderId="11" xfId="0" applyBorder="1"/>
    <xf numFmtId="0" fontId="0" fillId="0" borderId="12" xfId="0" applyBorder="1"/>
    <xf numFmtId="0" fontId="4" fillId="0" borderId="12" xfId="1" applyFont="1" applyFill="1" applyBorder="1" applyAlignment="1" applyProtection="1">
      <alignment wrapText="1"/>
    </xf>
    <xf numFmtId="0" fontId="0" fillId="0" borderId="23" xfId="0" applyFill="1" applyBorder="1"/>
    <xf numFmtId="169" fontId="0" fillId="0" borderId="9" xfId="0" applyNumberFormat="1" applyBorder="1"/>
    <xf numFmtId="169" fontId="0" fillId="0" borderId="11" xfId="0" applyNumberFormat="1" applyBorder="1"/>
    <xf numFmtId="169" fontId="4" fillId="0" borderId="11" xfId="1" applyNumberFormat="1" applyFont="1" applyBorder="1" applyAlignment="1" applyProtection="1">
      <alignment wrapText="1"/>
    </xf>
    <xf numFmtId="167" fontId="0" fillId="0" borderId="0" xfId="0" applyNumberFormat="1" applyBorder="1" applyAlignment="1">
      <alignment vertical="center"/>
    </xf>
    <xf numFmtId="165" fontId="0" fillId="0" borderId="7" xfId="0" applyNumberFormat="1" applyBorder="1" applyAlignment="1">
      <alignment wrapText="1"/>
    </xf>
    <xf numFmtId="49" fontId="0" fillId="0" borderId="12" xfId="0" applyNumberFormat="1" applyBorder="1" applyAlignment="1">
      <alignment horizontal="center"/>
    </xf>
    <xf numFmtId="0" fontId="0" fillId="0" borderId="0" xfId="0" applyAlignment="1"/>
    <xf numFmtId="0" fontId="0" fillId="0" borderId="22" xfId="0" applyBorder="1" applyAlignment="1">
      <alignment horizontal="center"/>
    </xf>
    <xf numFmtId="49" fontId="0" fillId="0" borderId="22" xfId="0" applyNumberFormat="1" applyBorder="1" applyAlignment="1">
      <alignment horizontal="center"/>
    </xf>
    <xf numFmtId="0" fontId="0" fillId="0" borderId="6" xfId="0" applyFill="1" applyBorder="1" applyAlignment="1"/>
    <xf numFmtId="0" fontId="0" fillId="0" borderId="13" xfId="0" applyBorder="1"/>
    <xf numFmtId="0" fontId="0" fillId="0" borderId="23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4" fillId="0" borderId="12" xfId="1" applyFont="1" applyFill="1" applyBorder="1" applyAlignment="1" applyProtection="1">
      <alignment horizontal="center" wrapText="1"/>
    </xf>
    <xf numFmtId="0" fontId="0" fillId="0" borderId="12" xfId="0" applyFill="1" applyBorder="1" applyAlignment="1">
      <alignment horizontal="center" vertical="top" wrapText="1"/>
    </xf>
    <xf numFmtId="0" fontId="0" fillId="3" borderId="14" xfId="0" applyFill="1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5" fillId="0" borderId="24" xfId="0" applyFont="1" applyBorder="1" applyAlignment="1">
      <alignment horizontal="right"/>
    </xf>
    <xf numFmtId="0" fontId="5" fillId="0" borderId="25" xfId="0" applyFont="1" applyBorder="1" applyAlignment="1">
      <alignment horizontal="right" vertical="center" wrapText="1"/>
    </xf>
    <xf numFmtId="170" fontId="0" fillId="0" borderId="26" xfId="0" applyNumberFormat="1" applyBorder="1" applyAlignment="1">
      <alignment horizontal="right"/>
    </xf>
    <xf numFmtId="170" fontId="0" fillId="0" borderId="27" xfId="0" applyNumberFormat="1" applyBorder="1" applyAlignment="1">
      <alignment horizontal="right" vertical="center" wrapText="1"/>
    </xf>
    <xf numFmtId="49" fontId="0" fillId="0" borderId="6" xfId="0" applyNumberFormat="1" applyBorder="1" applyAlignment="1">
      <alignment horizontal="left"/>
    </xf>
    <xf numFmtId="165" fontId="0" fillId="0" borderId="7" xfId="0" applyNumberFormat="1" applyFill="1" applyBorder="1" applyAlignment="1">
      <alignment wrapText="1"/>
    </xf>
    <xf numFmtId="165" fontId="5" fillId="0" borderId="0" xfId="0" applyNumberFormat="1" applyFont="1" applyBorder="1" applyAlignment="1"/>
    <xf numFmtId="0" fontId="0" fillId="0" borderId="0" xfId="0"/>
    <xf numFmtId="0" fontId="0" fillId="0" borderId="1" xfId="0" applyFill="1" applyBorder="1" applyAlignment="1">
      <alignment horizontal="center" vertical="center" wrapText="1"/>
    </xf>
    <xf numFmtId="165" fontId="0" fillId="0" borderId="7" xfId="0" applyNumberFormat="1" applyBorder="1"/>
    <xf numFmtId="165" fontId="0" fillId="0" borderId="16" xfId="0" applyNumberFormat="1" applyBorder="1" applyAlignment="1">
      <alignment wrapText="1"/>
    </xf>
    <xf numFmtId="0" fontId="0" fillId="0" borderId="0" xfId="0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165" fontId="0" fillId="0" borderId="0" xfId="0" applyNumberFormat="1" applyFill="1" applyBorder="1"/>
    <xf numFmtId="165" fontId="0" fillId="0" borderId="0" xfId="0" applyNumberFormat="1" applyFill="1" applyBorder="1" applyAlignment="1">
      <alignment wrapText="1"/>
    </xf>
    <xf numFmtId="167" fontId="0" fillId="0" borderId="0" xfId="0" applyNumberFormat="1" applyBorder="1" applyAlignment="1">
      <alignment vertical="center"/>
    </xf>
    <xf numFmtId="0" fontId="0" fillId="0" borderId="0" xfId="0" applyAlignment="1"/>
    <xf numFmtId="0" fontId="0" fillId="0" borderId="0" xfId="0" applyBorder="1" applyAlignment="1">
      <alignment horizontal="center"/>
    </xf>
    <xf numFmtId="0" fontId="5" fillId="0" borderId="29" xfId="0" applyFont="1" applyBorder="1" applyAlignment="1">
      <alignment horizontal="right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1" fillId="0" borderId="0" xfId="1" applyAlignment="1" applyProtection="1"/>
    <xf numFmtId="0" fontId="1" fillId="0" borderId="11" xfId="1" applyFill="1" applyBorder="1" applyAlignment="1" applyProtection="1"/>
    <xf numFmtId="0" fontId="1" fillId="0" borderId="9" xfId="1" applyFill="1" applyBorder="1" applyAlignment="1" applyProtection="1"/>
    <xf numFmtId="0" fontId="1" fillId="0" borderId="11" xfId="1" applyBorder="1" applyAlignment="1" applyProtection="1"/>
    <xf numFmtId="0" fontId="1" fillId="0" borderId="11" xfId="1" applyFill="1" applyBorder="1" applyAlignment="1" applyProtection="1">
      <alignment vertical="center"/>
    </xf>
    <xf numFmtId="0" fontId="0" fillId="0" borderId="5" xfId="0" applyBorder="1" applyAlignment="1">
      <alignment horizontal="left" vertical="center" wrapText="1"/>
    </xf>
    <xf numFmtId="0" fontId="0" fillId="0" borderId="10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12" xfId="0" applyBorder="1" applyAlignment="1">
      <alignment horizontal="left" vertical="center"/>
    </xf>
    <xf numFmtId="0" fontId="0" fillId="4" borderId="8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49" fontId="0" fillId="0" borderId="10" xfId="0" applyNumberFormat="1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Fill="1" applyBorder="1" applyAlignment="1"/>
    <xf numFmtId="0" fontId="0" fillId="0" borderId="12" xfId="0" applyFill="1" applyBorder="1" applyAlignment="1"/>
    <xf numFmtId="0" fontId="0" fillId="0" borderId="13" xfId="0" applyFill="1" applyBorder="1" applyAlignment="1">
      <alignment vertical="top"/>
    </xf>
    <xf numFmtId="0" fontId="0" fillId="0" borderId="32" xfId="0" applyBorder="1" applyAlignment="1">
      <alignment vertical="top"/>
    </xf>
    <xf numFmtId="0" fontId="5" fillId="0" borderId="20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/>
  </cellXfs>
  <cellStyles count="2">
    <cellStyle name="Hivatkozás" xfId="1" builtinId="8"/>
    <cellStyle name="Normál" xfId="0" builtinId="0"/>
  </cellStyles>
  <dxfs count="1"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mruColors>
      <color rgb="FF66FF33"/>
      <color rgb="FF00FFFF"/>
      <color rgb="FF00FF00"/>
      <color rgb="FF990000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hu.mouser.com/ProductDetail/STMicroelectronics/STM32F103C8T6/?qs=sGAEpiMZZMuoKKEcg8mMKFb3BM%252bPMo%252bWO5nL6GJ6Dac%3d" TargetMode="External"/><Relationship Id="rId2" Type="http://schemas.openxmlformats.org/officeDocument/2006/relationships/hyperlink" Target="https://store.invensense.com/ProductDetail/MPU-6050-InvenSense-Inc/422200/pid=1135" TargetMode="External"/><Relationship Id="rId1" Type="http://schemas.openxmlformats.org/officeDocument/2006/relationships/hyperlink" Target="https://store.ti.com/DRV8836DSSR.aspx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hu.mouser.com/ProductDetail/Lite-On/LTR-4206/?qs=sGAEpiMZZMs50KUSuyRkprGS7TLuiZ89%252bkW7hQEBFcY%3d" TargetMode="External"/><Relationship Id="rId4" Type="http://schemas.openxmlformats.org/officeDocument/2006/relationships/hyperlink" Target="http://hu.mouser.com/ProductDetail/OSRAM-Opto-Semiconductors/SFH-4545/?qs=sGAEpiMZZMtjb30GAx%2fDT3jQ62O9d7JB%2fJ4aBDFAdus%3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>
    <tabColor indexed="11"/>
  </sheetPr>
  <dimension ref="A2:P167"/>
  <sheetViews>
    <sheetView tabSelected="1" topLeftCell="B1" workbookViewId="0">
      <pane ySplit="4" topLeftCell="A5" activePane="bottomLeft" state="frozen"/>
      <selection pane="bottomLeft" activeCell="O8" sqref="O8"/>
    </sheetView>
  </sheetViews>
  <sheetFormatPr defaultRowHeight="12.75" x14ac:dyDescent="0.2"/>
  <cols>
    <col min="1" max="1" width="17.5703125" customWidth="1"/>
    <col min="2" max="2" width="18.28515625" customWidth="1"/>
    <col min="3" max="3" width="23.5703125" customWidth="1"/>
    <col min="4" max="4" width="6.140625" customWidth="1"/>
    <col min="5" max="5" width="7.5703125" customWidth="1"/>
    <col min="6" max="6" width="11.140625" customWidth="1"/>
    <col min="7" max="7" width="11.42578125" style="89" bestFit="1" customWidth="1"/>
    <col min="8" max="8" width="12.42578125" customWidth="1"/>
    <col min="9" max="9" width="11.140625" hidden="1" customWidth="1"/>
    <col min="10" max="10" width="11.28515625" hidden="1" customWidth="1"/>
    <col min="11" max="11" width="12.42578125" hidden="1" customWidth="1"/>
    <col min="12" max="12" width="0.28515625" customWidth="1"/>
    <col min="13" max="13" width="16.42578125" bestFit="1" customWidth="1"/>
    <col min="14" max="14" width="15.42578125" bestFit="1" customWidth="1"/>
    <col min="15" max="15" width="38" bestFit="1" customWidth="1"/>
    <col min="16" max="16" width="134.42578125" bestFit="1" customWidth="1"/>
  </cols>
  <sheetData>
    <row r="2" spans="1:16" ht="27" customHeight="1" thickBot="1" x14ac:dyDescent="0.25">
      <c r="A2" s="118" t="s">
        <v>22</v>
      </c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</row>
    <row r="3" spans="1:16" ht="13.5" thickBot="1" x14ac:dyDescent="0.25">
      <c r="A3" s="124" t="s">
        <v>14</v>
      </c>
      <c r="B3" s="124"/>
      <c r="C3" s="124"/>
      <c r="D3" s="124"/>
      <c r="E3" s="124" t="s">
        <v>15</v>
      </c>
      <c r="F3" s="124"/>
      <c r="G3" s="124"/>
      <c r="H3" s="124"/>
      <c r="M3" s="125" t="s">
        <v>6</v>
      </c>
      <c r="N3" s="126"/>
      <c r="O3" s="1"/>
    </row>
    <row r="4" spans="1:16" ht="25.5" customHeight="1" thickBot="1" x14ac:dyDescent="0.25">
      <c r="A4" s="2" t="s">
        <v>0</v>
      </c>
      <c r="B4" s="2" t="s">
        <v>10</v>
      </c>
      <c r="C4" s="4" t="s">
        <v>9</v>
      </c>
      <c r="D4" s="6" t="s">
        <v>11</v>
      </c>
      <c r="E4" s="5" t="s">
        <v>1</v>
      </c>
      <c r="F4" s="6" t="s">
        <v>17</v>
      </c>
      <c r="G4" s="90" t="s">
        <v>20</v>
      </c>
      <c r="H4" s="8" t="s">
        <v>13</v>
      </c>
      <c r="I4" s="2" t="s">
        <v>2</v>
      </c>
      <c r="J4" s="2" t="s">
        <v>3</v>
      </c>
      <c r="K4" s="2" t="s">
        <v>4</v>
      </c>
      <c r="L4" s="2" t="s">
        <v>5</v>
      </c>
      <c r="M4" s="2" t="s">
        <v>16</v>
      </c>
      <c r="N4" s="3" t="s">
        <v>7</v>
      </c>
      <c r="O4" s="7" t="s">
        <v>8</v>
      </c>
      <c r="P4" s="109" t="s">
        <v>21</v>
      </c>
    </row>
    <row r="5" spans="1:16" ht="12.75" customHeight="1" thickTop="1" x14ac:dyDescent="0.2">
      <c r="A5" s="106" t="s">
        <v>23</v>
      </c>
      <c r="B5" s="62"/>
      <c r="C5" s="9" t="s">
        <v>24</v>
      </c>
      <c r="D5" s="74" t="s">
        <v>12</v>
      </c>
      <c r="E5" s="63">
        <v>2</v>
      </c>
      <c r="F5" s="10">
        <v>1800</v>
      </c>
      <c r="G5" s="91">
        <f t="shared" ref="G5:G12" si="0">E5*F5</f>
        <v>3600</v>
      </c>
      <c r="H5" s="10"/>
      <c r="I5" s="10">
        <f t="shared" ref="I5:I6" si="1">F5*1.25</f>
        <v>2250</v>
      </c>
      <c r="J5" s="10">
        <f t="shared" ref="J5:J6" si="2">E5*I5</f>
        <v>4500</v>
      </c>
      <c r="K5" s="10" t="e">
        <f>I5*#REF!</f>
        <v>#REF!</v>
      </c>
      <c r="L5" s="10" t="e">
        <f>F5*#REF!</f>
        <v>#REF!</v>
      </c>
      <c r="M5" s="113" t="s">
        <v>33</v>
      </c>
      <c r="N5" t="s">
        <v>23</v>
      </c>
      <c r="O5" s="115" t="s">
        <v>46</v>
      </c>
      <c r="P5" s="111" t="s">
        <v>38</v>
      </c>
    </row>
    <row r="6" spans="1:16" ht="12.75" customHeight="1" x14ac:dyDescent="0.2">
      <c r="A6" s="120"/>
      <c r="B6" s="121"/>
      <c r="C6" s="72"/>
      <c r="D6" s="75"/>
      <c r="E6" s="64"/>
      <c r="F6" s="23"/>
      <c r="G6" s="91"/>
      <c r="H6" s="91"/>
      <c r="I6" s="10">
        <f t="shared" si="1"/>
        <v>0</v>
      </c>
      <c r="J6" s="10">
        <f t="shared" si="2"/>
        <v>0</v>
      </c>
      <c r="K6" s="10" t="e">
        <f>I6*#REF!</f>
        <v>#REF!</v>
      </c>
      <c r="L6" s="10" t="e">
        <f>F6*#REF!</f>
        <v>#REF!</v>
      </c>
      <c r="M6" s="11"/>
      <c r="N6" s="12"/>
      <c r="O6" s="110"/>
      <c r="P6" s="13"/>
    </row>
    <row r="7" spans="1:16" ht="12.75" customHeight="1" x14ac:dyDescent="0.2">
      <c r="A7" s="105" t="s">
        <v>25</v>
      </c>
      <c r="B7" s="14"/>
      <c r="C7" s="15" t="s">
        <v>26</v>
      </c>
      <c r="D7" s="75" t="s">
        <v>12</v>
      </c>
      <c r="E7" s="64">
        <v>2</v>
      </c>
      <c r="F7" s="16">
        <v>2280</v>
      </c>
      <c r="G7" s="91">
        <f t="shared" si="0"/>
        <v>4560</v>
      </c>
      <c r="H7" s="91"/>
      <c r="I7" s="10"/>
      <c r="J7" s="10"/>
      <c r="K7" s="10"/>
      <c r="L7" s="10"/>
      <c r="M7" s="112" t="s">
        <v>33</v>
      </c>
      <c r="N7" s="86" t="s">
        <v>34</v>
      </c>
      <c r="O7" s="116" t="s">
        <v>45</v>
      </c>
      <c r="P7" s="110" t="s">
        <v>35</v>
      </c>
    </row>
    <row r="8" spans="1:16" ht="12.75" customHeight="1" x14ac:dyDescent="0.2">
      <c r="A8" s="104" t="s">
        <v>27</v>
      </c>
      <c r="B8" s="61"/>
      <c r="C8" s="18" t="s">
        <v>28</v>
      </c>
      <c r="D8" s="76" t="s">
        <v>12</v>
      </c>
      <c r="E8" s="65">
        <v>1</v>
      </c>
      <c r="F8" s="19">
        <v>580</v>
      </c>
      <c r="G8" s="91">
        <f t="shared" si="0"/>
        <v>580</v>
      </c>
      <c r="H8" s="91"/>
      <c r="I8" s="10"/>
      <c r="J8" s="10"/>
      <c r="K8" s="10"/>
      <c r="L8" s="10"/>
      <c r="M8" s="112" t="s">
        <v>36</v>
      </c>
      <c r="N8" t="s">
        <v>27</v>
      </c>
      <c r="O8" s="116" t="s">
        <v>40</v>
      </c>
      <c r="P8" s="110" t="s">
        <v>39</v>
      </c>
    </row>
    <row r="9" spans="1:16" ht="12.75" customHeight="1" x14ac:dyDescent="0.2">
      <c r="A9" s="58"/>
      <c r="B9" s="122"/>
      <c r="C9" s="123"/>
      <c r="D9" s="77"/>
      <c r="E9" s="64"/>
      <c r="F9" s="21"/>
      <c r="G9" s="91"/>
      <c r="H9" s="91"/>
      <c r="I9" s="10"/>
      <c r="J9" s="10"/>
      <c r="K9" s="10"/>
      <c r="L9" s="10"/>
      <c r="M9" s="17"/>
      <c r="N9" s="24"/>
      <c r="O9" s="110"/>
      <c r="P9" s="13"/>
    </row>
    <row r="10" spans="1:16" ht="12.75" customHeight="1" x14ac:dyDescent="0.2">
      <c r="A10" s="59"/>
      <c r="B10" s="60"/>
      <c r="C10" s="73"/>
      <c r="D10" s="17"/>
      <c r="E10" s="64"/>
      <c r="F10" s="21"/>
      <c r="G10" s="91"/>
      <c r="H10" s="91"/>
      <c r="I10" s="10"/>
      <c r="J10" s="10"/>
      <c r="K10" s="10"/>
      <c r="L10" s="10"/>
      <c r="M10" s="17"/>
      <c r="N10" s="70"/>
      <c r="O10" s="110"/>
      <c r="P10" s="13"/>
    </row>
    <row r="11" spans="1:16" ht="12.75" customHeight="1" x14ac:dyDescent="0.2">
      <c r="A11" s="59" t="s">
        <v>41</v>
      </c>
      <c r="B11" s="60"/>
      <c r="C11" s="73"/>
      <c r="D11" s="17"/>
      <c r="E11" s="64"/>
      <c r="F11" s="20"/>
      <c r="G11" s="91"/>
      <c r="H11" s="91"/>
      <c r="I11" s="10"/>
      <c r="J11" s="10"/>
      <c r="K11" s="10"/>
      <c r="L11" s="10"/>
      <c r="M11" s="17"/>
      <c r="N11" s="86"/>
      <c r="O11" s="117"/>
      <c r="P11" s="22"/>
    </row>
    <row r="12" spans="1:16" ht="12.75" customHeight="1" x14ac:dyDescent="0.2">
      <c r="A12" s="107" t="s">
        <v>30</v>
      </c>
      <c r="B12" s="60"/>
      <c r="C12" s="73"/>
      <c r="D12" s="17" t="s">
        <v>31</v>
      </c>
      <c r="E12" s="64">
        <v>6</v>
      </c>
      <c r="F12" s="21">
        <v>171</v>
      </c>
      <c r="G12" s="91">
        <f t="shared" si="0"/>
        <v>1026</v>
      </c>
      <c r="H12" s="91"/>
      <c r="I12" s="10"/>
      <c r="J12" s="23"/>
      <c r="K12" s="10"/>
      <c r="L12" s="10"/>
      <c r="M12" s="112" t="s">
        <v>37</v>
      </c>
      <c r="N12" t="s">
        <v>42</v>
      </c>
      <c r="O12" s="116" t="s">
        <v>46</v>
      </c>
      <c r="P12" s="25" t="s">
        <v>29</v>
      </c>
    </row>
    <row r="13" spans="1:16" ht="13.5" customHeight="1" x14ac:dyDescent="0.2">
      <c r="A13" s="108" t="s">
        <v>32</v>
      </c>
      <c r="B13" s="60"/>
      <c r="C13" s="60"/>
      <c r="D13" s="68" t="s">
        <v>31</v>
      </c>
      <c r="E13" s="64">
        <v>6</v>
      </c>
      <c r="F13" s="56">
        <v>41</v>
      </c>
      <c r="G13" s="91">
        <f>E13*F13</f>
        <v>246</v>
      </c>
      <c r="H13" s="91"/>
      <c r="I13" s="10"/>
      <c r="J13" s="26"/>
      <c r="K13" s="10"/>
      <c r="L13" s="10"/>
      <c r="M13" s="114" t="s">
        <v>37</v>
      </c>
      <c r="N13" t="s">
        <v>44</v>
      </c>
      <c r="O13" s="116" t="s">
        <v>46</v>
      </c>
      <c r="P13" s="110" t="s">
        <v>43</v>
      </c>
    </row>
    <row r="14" spans="1:16" ht="12.75" customHeight="1" x14ac:dyDescent="0.2">
      <c r="A14" s="59"/>
      <c r="B14" s="60"/>
      <c r="C14" s="60"/>
      <c r="D14" s="68"/>
      <c r="E14" s="64"/>
      <c r="F14" s="20"/>
      <c r="G14" s="91"/>
      <c r="H14" s="91"/>
      <c r="I14" s="10"/>
      <c r="J14" s="10"/>
      <c r="K14" s="10"/>
      <c r="L14" s="10"/>
      <c r="M14" s="17"/>
      <c r="N14" s="71"/>
      <c r="O14" s="13"/>
      <c r="P14" s="13"/>
    </row>
    <row r="15" spans="1:16" x14ac:dyDescent="0.2">
      <c r="A15" s="59"/>
      <c r="B15" s="60"/>
      <c r="C15" s="60"/>
      <c r="D15" s="68"/>
      <c r="E15" s="64"/>
      <c r="F15" s="20"/>
      <c r="G15" s="91"/>
      <c r="H15" s="91"/>
      <c r="I15" s="10"/>
      <c r="J15" s="10"/>
      <c r="K15" s="10"/>
      <c r="L15" s="10"/>
      <c r="M15" s="17"/>
      <c r="N15" s="70"/>
      <c r="O15" s="13"/>
      <c r="P15" s="13"/>
    </row>
    <row r="16" spans="1:16" x14ac:dyDescent="0.2">
      <c r="A16" s="59"/>
      <c r="B16" s="60"/>
      <c r="C16" s="60"/>
      <c r="D16" s="17"/>
      <c r="E16" s="64"/>
      <c r="F16" s="21"/>
      <c r="G16" s="91"/>
      <c r="H16" s="91"/>
      <c r="I16" s="10"/>
      <c r="J16" s="10"/>
      <c r="K16" s="10"/>
      <c r="L16" s="10"/>
      <c r="M16" s="17"/>
      <c r="N16" s="12"/>
      <c r="O16" s="13"/>
      <c r="P16" s="13"/>
    </row>
    <row r="17" spans="1:16" x14ac:dyDescent="0.2">
      <c r="A17" s="59"/>
      <c r="B17" s="60"/>
      <c r="C17" s="60"/>
      <c r="D17" s="17"/>
      <c r="E17" s="64"/>
      <c r="F17" s="20"/>
      <c r="G17" s="91"/>
      <c r="H17" s="91"/>
      <c r="I17" s="10"/>
      <c r="J17" s="10"/>
      <c r="K17" s="10"/>
      <c r="L17" s="10"/>
      <c r="M17" s="17"/>
      <c r="N17" s="57"/>
      <c r="O17" s="13"/>
      <c r="P17" s="13"/>
    </row>
    <row r="18" spans="1:16" x14ac:dyDescent="0.2">
      <c r="A18" s="59"/>
      <c r="B18" s="60"/>
      <c r="C18" s="73"/>
      <c r="D18" s="17"/>
      <c r="E18" s="64"/>
      <c r="F18" s="20"/>
      <c r="G18" s="91"/>
      <c r="H18" s="91"/>
      <c r="I18" s="10"/>
      <c r="J18" s="10"/>
      <c r="K18" s="10"/>
      <c r="L18" s="10"/>
      <c r="M18" s="17"/>
      <c r="N18" s="70"/>
      <c r="O18" s="13"/>
      <c r="P18" s="13"/>
    </row>
    <row r="19" spans="1:16" x14ac:dyDescent="0.2">
      <c r="A19" s="59"/>
      <c r="B19" s="60"/>
      <c r="C19" s="60"/>
      <c r="D19" s="17"/>
      <c r="E19" s="64"/>
      <c r="F19" s="56"/>
      <c r="G19" s="91"/>
      <c r="H19" s="91"/>
      <c r="I19" s="10"/>
      <c r="J19" s="26"/>
      <c r="K19" s="10"/>
      <c r="L19" s="10"/>
      <c r="M19" s="27"/>
      <c r="N19" s="12"/>
      <c r="O19" s="13"/>
      <c r="P19" s="13"/>
    </row>
    <row r="20" spans="1:16" x14ac:dyDescent="0.2">
      <c r="A20" s="58"/>
      <c r="B20" s="60"/>
      <c r="C20" s="73"/>
      <c r="D20" s="17"/>
      <c r="E20" s="64"/>
      <c r="F20" s="21"/>
      <c r="G20" s="87"/>
      <c r="H20" s="91"/>
      <c r="I20" s="10"/>
      <c r="J20" s="10"/>
      <c r="K20" s="10"/>
      <c r="L20" s="10"/>
      <c r="M20" s="17"/>
      <c r="N20" s="12"/>
      <c r="O20" s="13"/>
      <c r="P20" s="13"/>
    </row>
    <row r="21" spans="1:16" x14ac:dyDescent="0.2">
      <c r="A21" s="58"/>
      <c r="B21" s="60"/>
      <c r="C21" s="73"/>
      <c r="D21" s="17"/>
      <c r="E21" s="64"/>
      <c r="F21" s="21"/>
      <c r="G21" s="87"/>
      <c r="H21" s="10"/>
      <c r="I21" s="10"/>
      <c r="J21" s="10"/>
      <c r="K21" s="10"/>
      <c r="L21" s="10"/>
      <c r="M21" s="17"/>
      <c r="N21" s="12"/>
      <c r="O21" s="13"/>
      <c r="P21" s="13"/>
    </row>
    <row r="22" spans="1:16" x14ac:dyDescent="0.2">
      <c r="A22" s="58"/>
      <c r="B22" s="60"/>
      <c r="C22" s="73"/>
      <c r="D22" s="17"/>
      <c r="E22" s="64"/>
      <c r="F22" s="20"/>
      <c r="G22" s="67"/>
      <c r="H22" s="10"/>
      <c r="I22" s="10"/>
      <c r="J22" s="10"/>
      <c r="K22" s="10"/>
      <c r="L22" s="10"/>
      <c r="M22" s="17"/>
      <c r="N22" s="71"/>
      <c r="O22" s="13"/>
      <c r="P22" s="13"/>
    </row>
    <row r="23" spans="1:16" x14ac:dyDescent="0.2">
      <c r="A23" s="58"/>
      <c r="B23" s="60"/>
      <c r="C23" s="73"/>
      <c r="D23" s="17"/>
      <c r="E23" s="64"/>
      <c r="F23" s="20"/>
      <c r="G23" s="67"/>
      <c r="H23" s="10"/>
      <c r="I23" s="10"/>
      <c r="J23" s="10"/>
      <c r="K23" s="10"/>
      <c r="L23" s="10"/>
      <c r="M23" s="17"/>
      <c r="N23" s="12"/>
      <c r="O23" s="13"/>
      <c r="P23" s="13"/>
    </row>
    <row r="24" spans="1:16" x14ac:dyDescent="0.2">
      <c r="A24" s="58"/>
      <c r="B24" s="14"/>
      <c r="C24" s="73"/>
      <c r="D24" s="17"/>
      <c r="E24" s="64"/>
      <c r="F24" s="20"/>
      <c r="G24" s="67"/>
      <c r="H24" s="10"/>
      <c r="I24" s="10"/>
      <c r="J24" s="10"/>
      <c r="K24" s="10"/>
      <c r="L24" s="10"/>
      <c r="M24" s="17"/>
      <c r="N24" s="12"/>
      <c r="O24" s="13"/>
      <c r="P24" s="13"/>
    </row>
    <row r="25" spans="1:16" x14ac:dyDescent="0.2">
      <c r="A25" s="78"/>
      <c r="B25" s="14"/>
      <c r="C25" s="15"/>
      <c r="D25" s="75"/>
      <c r="E25" s="64"/>
      <c r="F25" s="20"/>
      <c r="G25" s="91"/>
      <c r="H25" s="10"/>
      <c r="I25" s="10">
        <f>F25*1.25</f>
        <v>0</v>
      </c>
      <c r="J25" s="28">
        <f>E25*I25</f>
        <v>0</v>
      </c>
      <c r="K25" s="10" t="e">
        <f>I25*#REF!</f>
        <v>#REF!</v>
      </c>
      <c r="L25" s="10" t="e">
        <f>F25*#REF!</f>
        <v>#REF!</v>
      </c>
      <c r="M25" s="17"/>
      <c r="N25" s="29"/>
      <c r="O25" s="30"/>
      <c r="P25" s="30"/>
    </row>
    <row r="26" spans="1:16" ht="13.5" thickBot="1" x14ac:dyDescent="0.25">
      <c r="A26" s="31"/>
      <c r="B26" s="32"/>
      <c r="C26" s="32"/>
      <c r="D26" s="36"/>
      <c r="E26" s="33"/>
      <c r="F26" s="34"/>
      <c r="G26" s="92"/>
      <c r="H26" s="34"/>
      <c r="I26" s="35"/>
      <c r="J26" s="35"/>
      <c r="K26" s="35"/>
      <c r="L26" s="35" t="e">
        <f>F26*#REF!</f>
        <v>#REF!</v>
      </c>
      <c r="M26" s="36"/>
      <c r="N26" s="37"/>
      <c r="O26" s="38"/>
      <c r="P26" s="38"/>
    </row>
    <row r="27" spans="1:16" ht="14.25" thickTop="1" thickBot="1" x14ac:dyDescent="0.25">
      <c r="A27" s="39"/>
      <c r="B27" s="40"/>
      <c r="C27" s="40"/>
      <c r="D27" s="40"/>
      <c r="E27" s="40"/>
      <c r="F27" s="39"/>
      <c r="G27" s="88">
        <f>SUM(G5:G26)</f>
        <v>10012</v>
      </c>
      <c r="H27" s="39">
        <f>SUM(H5:H26)</f>
        <v>0</v>
      </c>
      <c r="I27" s="40"/>
      <c r="J27" s="41">
        <f>SUM(J5:J26)</f>
        <v>4500</v>
      </c>
      <c r="K27" s="41" t="e">
        <f>SUM(K5:K26)</f>
        <v>#REF!</v>
      </c>
      <c r="L27" s="39" t="e">
        <f>SUM(L5:L26)</f>
        <v>#REF!</v>
      </c>
      <c r="M27" s="40"/>
      <c r="N27" s="40"/>
      <c r="O27" s="40"/>
    </row>
    <row r="28" spans="1:16" ht="13.5" thickTop="1" x14ac:dyDescent="0.2">
      <c r="A28" s="40"/>
      <c r="B28" s="40"/>
      <c r="C28" s="82" t="s">
        <v>18</v>
      </c>
      <c r="D28" s="84">
        <f>COUNTIF(D5:D26,"SMD")</f>
        <v>3</v>
      </c>
      <c r="E28" s="101"/>
      <c r="F28" s="40"/>
      <c r="G28" s="93"/>
      <c r="H28" s="40"/>
      <c r="I28" s="40"/>
      <c r="J28" s="40"/>
      <c r="K28" s="40"/>
      <c r="L28" s="40"/>
      <c r="M28" s="40"/>
      <c r="N28" s="40"/>
      <c r="O28" s="40"/>
    </row>
    <row r="29" spans="1:16" ht="12.75" customHeight="1" thickBot="1" x14ac:dyDescent="0.25">
      <c r="A29" s="79"/>
      <c r="B29" s="79"/>
      <c r="C29" s="83" t="s">
        <v>19</v>
      </c>
      <c r="D29" s="85">
        <f>COUNTIF(D7:D26,"TH")</f>
        <v>2</v>
      </c>
      <c r="E29" s="102"/>
      <c r="F29" s="80"/>
      <c r="G29" s="100"/>
      <c r="H29" s="80"/>
      <c r="I29" s="79"/>
      <c r="J29" s="79"/>
      <c r="K29" s="79"/>
      <c r="L29" s="79"/>
      <c r="M29" s="40"/>
      <c r="N29" s="40"/>
      <c r="O29" s="40"/>
    </row>
    <row r="30" spans="1:16" ht="12.75" customHeight="1" thickTop="1" thickBot="1" x14ac:dyDescent="0.25">
      <c r="A30" s="81"/>
      <c r="B30" s="45"/>
      <c r="C30" s="42"/>
      <c r="D30" s="42"/>
      <c r="E30" s="103"/>
      <c r="F30" s="66"/>
      <c r="G30" s="98"/>
      <c r="H30" s="66"/>
      <c r="I30" s="43"/>
      <c r="J30" s="39"/>
      <c r="K30" s="69"/>
      <c r="L30" s="69"/>
      <c r="M30" s="44"/>
      <c r="N30" s="44"/>
      <c r="O30" s="44"/>
    </row>
    <row r="31" spans="1:16" ht="12.75" customHeight="1" x14ac:dyDescent="0.2">
      <c r="A31" s="45"/>
      <c r="B31" s="45"/>
      <c r="C31" s="45"/>
      <c r="D31" s="45"/>
      <c r="E31" s="66"/>
      <c r="F31" s="66"/>
      <c r="G31" s="98"/>
      <c r="H31" s="66"/>
      <c r="I31" s="43"/>
      <c r="J31" s="39"/>
      <c r="K31" s="39"/>
      <c r="L31" s="39"/>
      <c r="M31" s="44"/>
      <c r="N31" s="44"/>
      <c r="O31" s="44"/>
    </row>
    <row r="32" spans="1:16" ht="12.75" customHeight="1" x14ac:dyDescent="0.2">
      <c r="A32" s="45"/>
      <c r="B32" s="45"/>
      <c r="C32" s="45"/>
      <c r="D32" s="45"/>
      <c r="E32" s="66"/>
      <c r="F32" s="66"/>
      <c r="G32" s="98"/>
      <c r="H32" s="66"/>
      <c r="I32" s="43"/>
      <c r="J32" s="39"/>
      <c r="K32" s="39"/>
      <c r="L32" s="39"/>
      <c r="M32" s="44"/>
      <c r="N32" s="44"/>
      <c r="O32" s="44"/>
    </row>
    <row r="33" spans="1:15" ht="12.75" customHeight="1" x14ac:dyDescent="0.2">
      <c r="A33" s="45"/>
      <c r="B33" s="45"/>
      <c r="C33" s="45"/>
      <c r="D33" s="45"/>
      <c r="E33" s="66"/>
      <c r="F33" s="66"/>
      <c r="G33" s="98"/>
      <c r="H33" s="66"/>
      <c r="I33" s="43"/>
      <c r="J33" s="39"/>
      <c r="K33" s="39"/>
      <c r="L33" s="39"/>
      <c r="M33" s="44"/>
      <c r="N33" s="44"/>
      <c r="O33" s="44"/>
    </row>
    <row r="34" spans="1:15" ht="12.75" customHeight="1" x14ac:dyDescent="0.2">
      <c r="A34" s="45"/>
      <c r="B34" s="45"/>
      <c r="C34" s="45"/>
      <c r="D34" s="45"/>
      <c r="E34" s="66"/>
      <c r="F34" s="66"/>
      <c r="G34" s="98"/>
      <c r="H34" s="66"/>
      <c r="I34" s="43"/>
      <c r="J34" s="39"/>
      <c r="K34" s="39"/>
      <c r="L34" s="39"/>
      <c r="M34" s="44"/>
      <c r="N34" s="44"/>
      <c r="O34" s="44"/>
    </row>
    <row r="35" spans="1:15" ht="12.75" customHeight="1" x14ac:dyDescent="0.2">
      <c r="A35" s="40"/>
      <c r="B35" s="40"/>
      <c r="C35" s="40"/>
      <c r="D35" s="40"/>
      <c r="E35" s="66"/>
      <c r="F35" s="66"/>
      <c r="G35" s="98"/>
      <c r="H35" s="66"/>
      <c r="I35" s="40"/>
      <c r="J35" s="39"/>
      <c r="K35" s="39"/>
      <c r="L35" s="39"/>
      <c r="M35" s="69"/>
      <c r="N35" s="69"/>
      <c r="O35" s="69"/>
    </row>
    <row r="36" spans="1:15" x14ac:dyDescent="0.2">
      <c r="A36" s="40"/>
      <c r="B36" s="40"/>
      <c r="C36" s="40"/>
      <c r="D36" s="40"/>
      <c r="E36" s="40"/>
      <c r="F36" s="40"/>
      <c r="G36" s="93"/>
      <c r="H36" s="40"/>
      <c r="I36" s="40"/>
      <c r="J36" s="40"/>
      <c r="K36" s="40"/>
      <c r="L36" s="40"/>
      <c r="M36" s="69"/>
      <c r="N36" s="69"/>
      <c r="O36" s="69"/>
    </row>
    <row r="37" spans="1:15" x14ac:dyDescent="0.2">
      <c r="A37" s="69"/>
      <c r="B37" s="69"/>
      <c r="C37" s="69"/>
      <c r="D37" s="69"/>
      <c r="E37" s="69"/>
      <c r="F37" s="69"/>
      <c r="G37" s="99"/>
      <c r="H37" s="69"/>
      <c r="I37" s="69"/>
      <c r="J37" s="69"/>
      <c r="K37" s="69"/>
      <c r="L37" s="69"/>
      <c r="M37" s="69"/>
      <c r="N37" s="69"/>
      <c r="O37" s="69"/>
    </row>
    <row r="38" spans="1:15" x14ac:dyDescent="0.2">
      <c r="A38" s="69"/>
      <c r="B38" s="69"/>
      <c r="C38" s="69"/>
      <c r="D38" s="69"/>
      <c r="E38" s="69"/>
      <c r="F38" s="69"/>
      <c r="G38" s="99"/>
      <c r="H38" s="69"/>
      <c r="I38" s="69"/>
      <c r="J38" s="69"/>
      <c r="K38" s="69"/>
      <c r="L38" s="69"/>
      <c r="M38" s="69"/>
      <c r="N38" s="69"/>
      <c r="O38" s="69"/>
    </row>
    <row r="97" spans="1:15" x14ac:dyDescent="0.2">
      <c r="A97" s="46"/>
      <c r="B97" s="46"/>
      <c r="C97" s="46"/>
      <c r="D97" s="46"/>
      <c r="E97" s="46"/>
      <c r="F97" s="46"/>
      <c r="G97" s="94"/>
      <c r="H97" s="46"/>
      <c r="I97" s="46"/>
      <c r="J97" s="46"/>
      <c r="K97" s="46"/>
      <c r="L97" s="46"/>
      <c r="M97" s="46"/>
      <c r="N97" s="46"/>
      <c r="O97" s="46"/>
    </row>
    <row r="98" spans="1:15" x14ac:dyDescent="0.2">
      <c r="A98" s="46"/>
      <c r="B98" s="46"/>
      <c r="C98" s="46"/>
      <c r="D98" s="46"/>
      <c r="E98" s="46"/>
      <c r="F98" s="46"/>
      <c r="G98" s="94"/>
      <c r="H98" s="46"/>
      <c r="I98" s="46"/>
      <c r="J98" s="46"/>
      <c r="K98" s="46"/>
      <c r="L98" s="46"/>
      <c r="M98" s="46"/>
      <c r="N98" s="46"/>
      <c r="O98" s="46"/>
    </row>
    <row r="99" spans="1:15" x14ac:dyDescent="0.2">
      <c r="A99" s="128"/>
      <c r="B99" s="127"/>
      <c r="C99" s="127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9"/>
    </row>
    <row r="100" spans="1:15" x14ac:dyDescent="0.2">
      <c r="A100" s="47"/>
      <c r="B100" s="47"/>
      <c r="C100" s="47"/>
      <c r="D100" s="47"/>
      <c r="E100" s="47"/>
      <c r="F100" s="47"/>
      <c r="G100" s="95"/>
      <c r="H100" s="47"/>
      <c r="I100" s="47"/>
      <c r="J100" s="47"/>
      <c r="K100" s="47"/>
      <c r="L100" s="47"/>
      <c r="M100" s="47"/>
      <c r="N100" s="47"/>
      <c r="O100" s="47"/>
    </row>
    <row r="101" spans="1:15" x14ac:dyDescent="0.2">
      <c r="A101" s="127"/>
      <c r="B101" s="127"/>
      <c r="C101" s="47"/>
      <c r="D101" s="47"/>
      <c r="E101" s="47"/>
      <c r="F101" s="47"/>
      <c r="G101" s="95"/>
      <c r="H101" s="47"/>
      <c r="I101" s="47"/>
      <c r="J101" s="47"/>
      <c r="K101" s="47"/>
      <c r="L101" s="47"/>
      <c r="M101" s="47"/>
      <c r="N101" s="47"/>
      <c r="O101" s="47"/>
    </row>
    <row r="102" spans="1:15" x14ac:dyDescent="0.2">
      <c r="A102" s="48"/>
      <c r="B102" s="46"/>
      <c r="C102" s="46"/>
      <c r="D102" s="46"/>
      <c r="E102" s="49"/>
      <c r="F102" s="50"/>
      <c r="G102" s="96"/>
      <c r="H102" s="50"/>
      <c r="I102" s="50"/>
      <c r="J102" s="50"/>
      <c r="K102" s="50"/>
      <c r="L102" s="50"/>
      <c r="M102" s="47"/>
      <c r="N102" s="51"/>
      <c r="O102" s="47"/>
    </row>
    <row r="103" spans="1:15" x14ac:dyDescent="0.2">
      <c r="A103" s="46"/>
      <c r="B103" s="46"/>
      <c r="C103" s="46"/>
      <c r="D103" s="46"/>
      <c r="E103" s="49"/>
      <c r="F103" s="52"/>
      <c r="G103" s="97"/>
      <c r="H103" s="52"/>
      <c r="I103" s="50"/>
      <c r="J103" s="50"/>
      <c r="K103" s="50"/>
      <c r="L103" s="50"/>
      <c r="M103" s="47"/>
      <c r="N103" s="51"/>
      <c r="O103" s="47"/>
    </row>
    <row r="104" spans="1:15" x14ac:dyDescent="0.2">
      <c r="A104" s="46"/>
      <c r="B104" s="46"/>
      <c r="C104" s="46"/>
      <c r="D104" s="46"/>
      <c r="E104" s="49"/>
      <c r="F104" s="52"/>
      <c r="G104" s="97"/>
      <c r="H104" s="52"/>
      <c r="I104" s="50"/>
      <c r="J104" s="50"/>
      <c r="K104" s="50"/>
      <c r="L104" s="50"/>
      <c r="M104" s="47"/>
      <c r="N104" s="51"/>
      <c r="O104" s="47"/>
    </row>
    <row r="105" spans="1:15" x14ac:dyDescent="0.2">
      <c r="A105" s="46"/>
      <c r="B105" s="46"/>
      <c r="C105" s="46"/>
      <c r="D105" s="46"/>
      <c r="E105" s="49"/>
      <c r="F105" s="52"/>
      <c r="G105" s="97"/>
      <c r="H105" s="52"/>
      <c r="I105" s="50"/>
      <c r="J105" s="50"/>
      <c r="K105" s="50"/>
      <c r="L105" s="50"/>
      <c r="M105" s="47"/>
      <c r="N105" s="51"/>
      <c r="O105" s="47"/>
    </row>
    <row r="106" spans="1:15" x14ac:dyDescent="0.2">
      <c r="A106" s="46"/>
      <c r="B106" s="46"/>
      <c r="C106" s="46"/>
      <c r="D106" s="46"/>
      <c r="E106" s="49"/>
      <c r="F106" s="52"/>
      <c r="G106" s="97"/>
      <c r="H106" s="52"/>
      <c r="I106" s="50"/>
      <c r="J106" s="50"/>
      <c r="K106" s="50"/>
      <c r="L106" s="50"/>
      <c r="M106" s="47"/>
      <c r="N106" s="51"/>
      <c r="O106" s="47"/>
    </row>
    <row r="107" spans="1:15" x14ac:dyDescent="0.2">
      <c r="A107" s="48"/>
      <c r="B107" s="53"/>
      <c r="C107" s="53"/>
      <c r="D107" s="53"/>
      <c r="E107" s="49"/>
      <c r="F107" s="52"/>
      <c r="G107" s="97"/>
      <c r="H107" s="52"/>
      <c r="I107" s="50"/>
      <c r="J107" s="50"/>
      <c r="K107" s="50"/>
      <c r="L107" s="50"/>
      <c r="M107" s="47"/>
      <c r="N107" s="51"/>
      <c r="O107" s="47"/>
    </row>
    <row r="108" spans="1:15" x14ac:dyDescent="0.2">
      <c r="A108" s="48"/>
      <c r="B108" s="53"/>
      <c r="C108" s="53"/>
      <c r="D108" s="53"/>
      <c r="E108" s="49"/>
      <c r="F108" s="52"/>
      <c r="G108" s="97"/>
      <c r="H108" s="52"/>
      <c r="I108" s="50"/>
      <c r="J108" s="50"/>
      <c r="K108" s="50"/>
      <c r="L108" s="50"/>
      <c r="M108" s="47"/>
      <c r="N108" s="51"/>
      <c r="O108" s="47"/>
    </row>
    <row r="109" spans="1:15" x14ac:dyDescent="0.2">
      <c r="A109" s="48"/>
      <c r="B109" s="53"/>
      <c r="C109" s="53"/>
      <c r="D109" s="53"/>
      <c r="E109" s="49"/>
      <c r="F109" s="52"/>
      <c r="G109" s="97"/>
      <c r="H109" s="52"/>
      <c r="I109" s="50"/>
      <c r="J109" s="50"/>
      <c r="K109" s="50"/>
      <c r="L109" s="50"/>
      <c r="M109" s="47"/>
      <c r="N109" s="51"/>
      <c r="O109" s="47"/>
    </row>
    <row r="110" spans="1:15" x14ac:dyDescent="0.2">
      <c r="A110" s="127"/>
      <c r="B110" s="127"/>
      <c r="C110" s="47"/>
      <c r="D110" s="47"/>
      <c r="E110" s="49"/>
      <c r="F110" s="52"/>
      <c r="G110" s="97"/>
      <c r="H110" s="52"/>
      <c r="I110" s="50"/>
      <c r="J110" s="50"/>
      <c r="K110" s="50"/>
      <c r="L110" s="50"/>
      <c r="M110" s="47"/>
      <c r="N110" s="51"/>
      <c r="O110" s="47"/>
    </row>
    <row r="111" spans="1:15" x14ac:dyDescent="0.2">
      <c r="A111" s="48"/>
      <c r="B111" s="48"/>
      <c r="C111" s="48"/>
      <c r="D111" s="48"/>
      <c r="E111" s="49"/>
      <c r="F111" s="52"/>
      <c r="G111" s="97"/>
      <c r="H111" s="52"/>
      <c r="I111" s="50"/>
      <c r="J111" s="50"/>
      <c r="K111" s="50"/>
      <c r="L111" s="50"/>
      <c r="M111" s="47"/>
      <c r="N111" s="51"/>
      <c r="O111" s="47"/>
    </row>
    <row r="112" spans="1:15" x14ac:dyDescent="0.2">
      <c r="A112" s="48"/>
      <c r="B112" s="48"/>
      <c r="C112" s="48"/>
      <c r="D112" s="48"/>
      <c r="E112" s="49"/>
      <c r="F112" s="52"/>
      <c r="G112" s="97"/>
      <c r="H112" s="52"/>
      <c r="I112" s="50"/>
      <c r="J112" s="50"/>
      <c r="K112" s="50"/>
      <c r="L112" s="50"/>
      <c r="M112" s="47"/>
      <c r="N112" s="51"/>
      <c r="O112" s="47"/>
    </row>
    <row r="113" spans="1:15" x14ac:dyDescent="0.2">
      <c r="A113" s="48"/>
      <c r="B113" s="48"/>
      <c r="C113" s="48"/>
      <c r="D113" s="48"/>
      <c r="E113" s="49"/>
      <c r="F113" s="52"/>
      <c r="G113" s="97"/>
      <c r="H113" s="52"/>
      <c r="I113" s="50"/>
      <c r="J113" s="50"/>
      <c r="K113" s="50"/>
      <c r="L113" s="50"/>
      <c r="M113" s="47"/>
      <c r="N113" s="51"/>
      <c r="O113" s="47"/>
    </row>
    <row r="114" spans="1:15" x14ac:dyDescent="0.2">
      <c r="A114" s="48"/>
      <c r="B114" s="48"/>
      <c r="C114" s="48"/>
      <c r="D114" s="48"/>
      <c r="E114" s="49"/>
      <c r="F114" s="52"/>
      <c r="G114" s="97"/>
      <c r="H114" s="52"/>
      <c r="I114" s="50"/>
      <c r="J114" s="50"/>
      <c r="K114" s="50"/>
      <c r="L114" s="50"/>
      <c r="M114" s="47"/>
      <c r="N114" s="51"/>
      <c r="O114" s="47"/>
    </row>
    <row r="115" spans="1:15" x14ac:dyDescent="0.2">
      <c r="A115" s="48"/>
      <c r="B115" s="48"/>
      <c r="C115" s="48"/>
      <c r="D115" s="48"/>
      <c r="E115" s="49"/>
      <c r="F115" s="52"/>
      <c r="G115" s="97"/>
      <c r="H115" s="52"/>
      <c r="I115" s="50"/>
      <c r="J115" s="50"/>
      <c r="K115" s="50"/>
      <c r="L115" s="50"/>
      <c r="M115" s="47"/>
      <c r="N115" s="51"/>
      <c r="O115" s="47"/>
    </row>
    <row r="116" spans="1:15" x14ac:dyDescent="0.2">
      <c r="A116" s="48"/>
      <c r="B116" s="48"/>
      <c r="C116" s="48"/>
      <c r="D116" s="48"/>
      <c r="E116" s="49"/>
      <c r="F116" s="52"/>
      <c r="G116" s="97"/>
      <c r="H116" s="52"/>
      <c r="I116" s="50"/>
      <c r="J116" s="50"/>
      <c r="K116" s="50"/>
      <c r="L116" s="50"/>
      <c r="M116" s="47"/>
      <c r="N116" s="47"/>
      <c r="O116" s="47"/>
    </row>
    <row r="117" spans="1:15" x14ac:dyDescent="0.2">
      <c r="A117" s="127"/>
      <c r="B117" s="127"/>
      <c r="C117" s="47"/>
      <c r="D117" s="47"/>
      <c r="E117" s="49"/>
      <c r="F117" s="47"/>
      <c r="G117" s="95"/>
      <c r="H117" s="47"/>
      <c r="I117" s="50"/>
      <c r="J117" s="50"/>
      <c r="K117" s="50"/>
      <c r="L117" s="50"/>
      <c r="M117" s="47"/>
      <c r="N117" s="47"/>
      <c r="O117" s="47"/>
    </row>
    <row r="118" spans="1:15" x14ac:dyDescent="0.2">
      <c r="A118" s="46"/>
      <c r="B118" s="46"/>
      <c r="C118" s="46"/>
      <c r="D118" s="46"/>
      <c r="E118" s="49"/>
      <c r="F118" s="50"/>
      <c r="G118" s="96"/>
      <c r="H118" s="50"/>
      <c r="I118" s="50"/>
      <c r="J118" s="50"/>
      <c r="K118" s="50"/>
      <c r="L118" s="50"/>
      <c r="M118" s="47"/>
      <c r="N118" s="51"/>
      <c r="O118" s="47"/>
    </row>
    <row r="119" spans="1:15" x14ac:dyDescent="0.2">
      <c r="A119" s="46"/>
      <c r="B119" s="46"/>
      <c r="C119" s="46"/>
      <c r="D119" s="46"/>
      <c r="E119" s="49"/>
      <c r="F119" s="52"/>
      <c r="G119" s="97"/>
      <c r="H119" s="52"/>
      <c r="I119" s="50"/>
      <c r="J119" s="50"/>
      <c r="K119" s="50"/>
      <c r="L119" s="50"/>
      <c r="M119" s="47"/>
      <c r="N119" s="51"/>
      <c r="O119" s="47"/>
    </row>
    <row r="120" spans="1:15" x14ac:dyDescent="0.2">
      <c r="A120" s="46"/>
      <c r="B120" s="46"/>
      <c r="C120" s="46"/>
      <c r="D120" s="46"/>
      <c r="E120" s="54"/>
      <c r="F120" s="52"/>
      <c r="G120" s="97"/>
      <c r="H120" s="52"/>
      <c r="I120" s="50"/>
      <c r="J120" s="50"/>
      <c r="K120" s="50"/>
      <c r="L120" s="50"/>
      <c r="M120" s="47"/>
      <c r="N120" s="51"/>
      <c r="O120" s="47"/>
    </row>
    <row r="121" spans="1:15" x14ac:dyDescent="0.2">
      <c r="A121" s="46"/>
      <c r="B121" s="46"/>
      <c r="C121" s="46"/>
      <c r="D121" s="46"/>
      <c r="E121" s="49"/>
      <c r="F121" s="52"/>
      <c r="G121" s="97"/>
      <c r="H121" s="52"/>
      <c r="I121" s="50"/>
      <c r="J121" s="50"/>
      <c r="K121" s="50"/>
      <c r="L121" s="50"/>
      <c r="M121" s="47"/>
      <c r="N121" s="51"/>
      <c r="O121" s="47"/>
    </row>
    <row r="122" spans="1:15" x14ac:dyDescent="0.2">
      <c r="A122" s="46"/>
      <c r="B122" s="46"/>
      <c r="C122" s="46"/>
      <c r="D122" s="46"/>
      <c r="E122" s="49"/>
      <c r="F122" s="52"/>
      <c r="G122" s="97"/>
      <c r="H122" s="52"/>
      <c r="I122" s="50"/>
      <c r="J122" s="50"/>
      <c r="K122" s="50"/>
      <c r="L122" s="50"/>
      <c r="M122" s="47"/>
      <c r="N122" s="51"/>
      <c r="O122" s="47"/>
    </row>
    <row r="123" spans="1:15" x14ac:dyDescent="0.2">
      <c r="A123" s="46"/>
      <c r="B123" s="46"/>
      <c r="C123" s="46"/>
      <c r="D123" s="46"/>
      <c r="E123" s="49"/>
      <c r="F123" s="52"/>
      <c r="G123" s="97"/>
      <c r="H123" s="52"/>
      <c r="I123" s="50"/>
      <c r="J123" s="50"/>
      <c r="K123" s="50"/>
      <c r="L123" s="50"/>
      <c r="M123" s="47"/>
      <c r="N123" s="51"/>
      <c r="O123" s="47"/>
    </row>
    <row r="124" spans="1:15" x14ac:dyDescent="0.2">
      <c r="A124" s="127"/>
      <c r="B124" s="127"/>
      <c r="C124" s="47"/>
      <c r="D124" s="47"/>
      <c r="E124" s="49"/>
      <c r="F124" s="47"/>
      <c r="G124" s="95"/>
      <c r="H124" s="47"/>
      <c r="I124" s="50"/>
      <c r="J124" s="50"/>
      <c r="K124" s="50"/>
      <c r="L124" s="50"/>
      <c r="M124" s="47"/>
      <c r="N124" s="47"/>
      <c r="O124" s="47"/>
    </row>
    <row r="125" spans="1:15" x14ac:dyDescent="0.2">
      <c r="A125" s="48"/>
      <c r="B125" s="48"/>
      <c r="C125" s="48"/>
      <c r="D125" s="48"/>
      <c r="E125" s="49"/>
      <c r="F125" s="52"/>
      <c r="G125" s="97"/>
      <c r="H125" s="52"/>
      <c r="I125" s="50"/>
      <c r="J125" s="50"/>
      <c r="K125" s="50"/>
      <c r="L125" s="50"/>
      <c r="M125" s="47"/>
      <c r="N125" s="47"/>
      <c r="O125" s="47"/>
    </row>
    <row r="126" spans="1:15" x14ac:dyDescent="0.2">
      <c r="A126" s="48"/>
      <c r="B126" s="48"/>
      <c r="C126" s="48"/>
      <c r="D126" s="48"/>
      <c r="E126" s="49"/>
      <c r="F126" s="52"/>
      <c r="G126" s="97"/>
      <c r="H126" s="52"/>
      <c r="I126" s="50"/>
      <c r="J126" s="50"/>
      <c r="K126" s="50"/>
      <c r="L126" s="50"/>
      <c r="M126" s="47"/>
      <c r="N126" s="51"/>
      <c r="O126" s="47"/>
    </row>
    <row r="127" spans="1:15" x14ac:dyDescent="0.2">
      <c r="A127" s="48"/>
      <c r="B127" s="46"/>
      <c r="C127" s="46"/>
      <c r="D127" s="46"/>
      <c r="E127" s="49"/>
      <c r="F127" s="52"/>
      <c r="G127" s="97"/>
      <c r="H127" s="52"/>
      <c r="I127" s="50"/>
      <c r="J127" s="50"/>
      <c r="K127" s="50"/>
      <c r="L127" s="50"/>
      <c r="M127" s="47"/>
      <c r="N127" s="51"/>
      <c r="O127" s="47"/>
    </row>
    <row r="128" spans="1:15" x14ac:dyDescent="0.2">
      <c r="A128" s="48"/>
      <c r="B128" s="48"/>
      <c r="C128" s="48"/>
      <c r="D128" s="48"/>
      <c r="E128" s="49"/>
      <c r="F128" s="52"/>
      <c r="G128" s="97"/>
      <c r="H128" s="52"/>
      <c r="I128" s="50"/>
      <c r="J128" s="50"/>
      <c r="K128" s="50"/>
      <c r="L128" s="50"/>
      <c r="M128" s="47"/>
      <c r="N128" s="47"/>
      <c r="O128" s="47"/>
    </row>
    <row r="129" spans="1:15" x14ac:dyDescent="0.2">
      <c r="A129" s="46"/>
      <c r="B129" s="46"/>
      <c r="C129" s="46"/>
      <c r="D129" s="46"/>
      <c r="E129" s="46"/>
      <c r="F129" s="46"/>
      <c r="G129" s="94"/>
      <c r="H129" s="46"/>
      <c r="I129" s="46"/>
      <c r="J129" s="46"/>
      <c r="K129" s="46"/>
      <c r="L129" s="46"/>
      <c r="M129" s="46"/>
      <c r="N129" s="46"/>
      <c r="O129" s="46"/>
    </row>
    <row r="130" spans="1:15" x14ac:dyDescent="0.2">
      <c r="A130" s="46"/>
      <c r="B130" s="46"/>
      <c r="C130" s="46"/>
      <c r="D130" s="46"/>
      <c r="E130" s="46"/>
      <c r="F130" s="52"/>
      <c r="G130" s="97"/>
      <c r="H130" s="52"/>
      <c r="I130" s="55"/>
      <c r="J130" s="55"/>
      <c r="K130" s="55"/>
      <c r="L130" s="55"/>
      <c r="M130" s="50"/>
      <c r="N130" s="46"/>
      <c r="O130" s="46"/>
    </row>
    <row r="131" spans="1:15" x14ac:dyDescent="0.2">
      <c r="A131" s="46"/>
      <c r="B131" s="46"/>
      <c r="C131" s="46"/>
      <c r="D131" s="46"/>
      <c r="E131" s="46"/>
      <c r="F131" s="46"/>
      <c r="G131" s="94"/>
      <c r="H131" s="46"/>
      <c r="I131" s="46"/>
      <c r="J131" s="46"/>
      <c r="K131" s="46"/>
      <c r="L131" s="46"/>
      <c r="M131" s="46"/>
      <c r="N131" s="46"/>
      <c r="O131" s="46"/>
    </row>
    <row r="132" spans="1:15" x14ac:dyDescent="0.2">
      <c r="A132" s="46"/>
      <c r="B132" s="46"/>
      <c r="C132" s="46"/>
      <c r="D132" s="46"/>
      <c r="E132" s="46"/>
      <c r="F132" s="46"/>
      <c r="G132" s="94"/>
      <c r="H132" s="46"/>
      <c r="I132" s="46"/>
      <c r="J132" s="46"/>
      <c r="K132" s="46"/>
      <c r="L132" s="46"/>
      <c r="M132" s="46"/>
      <c r="N132" s="46"/>
      <c r="O132" s="46"/>
    </row>
    <row r="133" spans="1:15" x14ac:dyDescent="0.2">
      <c r="A133" s="46"/>
      <c r="B133" s="46"/>
      <c r="C133" s="46"/>
      <c r="D133" s="46"/>
      <c r="E133" s="46"/>
      <c r="F133" s="46"/>
      <c r="G133" s="94"/>
      <c r="H133" s="46"/>
      <c r="I133" s="46"/>
      <c r="J133" s="46"/>
      <c r="K133" s="46"/>
      <c r="L133" s="46"/>
      <c r="M133" s="46"/>
      <c r="N133" s="46"/>
      <c r="O133" s="46"/>
    </row>
    <row r="134" spans="1:15" x14ac:dyDescent="0.2">
      <c r="A134" s="46"/>
      <c r="B134" s="46"/>
      <c r="C134" s="46"/>
      <c r="D134" s="46"/>
      <c r="E134" s="46"/>
      <c r="F134" s="46"/>
      <c r="G134" s="94"/>
      <c r="H134" s="46"/>
      <c r="I134" s="46"/>
      <c r="J134" s="46"/>
      <c r="K134" s="46"/>
      <c r="L134" s="46"/>
      <c r="M134" s="46"/>
      <c r="N134" s="46"/>
      <c r="O134" s="46"/>
    </row>
    <row r="135" spans="1:15" x14ac:dyDescent="0.2">
      <c r="A135" s="46"/>
      <c r="B135" s="46"/>
      <c r="C135" s="46"/>
      <c r="D135" s="46"/>
      <c r="E135" s="46"/>
      <c r="F135" s="46"/>
      <c r="G135" s="94"/>
      <c r="H135" s="46"/>
      <c r="I135" s="46"/>
      <c r="J135" s="46"/>
      <c r="K135" s="46"/>
      <c r="L135" s="46"/>
      <c r="M135" s="46"/>
      <c r="N135" s="46"/>
      <c r="O135" s="46"/>
    </row>
    <row r="136" spans="1:15" x14ac:dyDescent="0.2">
      <c r="A136" s="46"/>
      <c r="B136" s="46"/>
      <c r="C136" s="46"/>
      <c r="D136" s="46"/>
      <c r="E136" s="46"/>
      <c r="F136" s="46"/>
      <c r="G136" s="94"/>
      <c r="H136" s="46"/>
      <c r="I136" s="46"/>
      <c r="J136" s="46"/>
      <c r="K136" s="46"/>
      <c r="L136" s="46"/>
      <c r="M136" s="46"/>
      <c r="N136" s="46"/>
      <c r="O136" s="46"/>
    </row>
    <row r="137" spans="1:15" x14ac:dyDescent="0.2">
      <c r="A137" s="46"/>
      <c r="B137" s="46"/>
      <c r="C137" s="46"/>
      <c r="D137" s="46"/>
      <c r="E137" s="46"/>
      <c r="F137" s="46"/>
      <c r="G137" s="94"/>
      <c r="H137" s="46"/>
      <c r="I137" s="46"/>
      <c r="J137" s="46"/>
      <c r="K137" s="46"/>
      <c r="L137" s="46"/>
      <c r="M137" s="46"/>
      <c r="N137" s="46"/>
      <c r="O137" s="46"/>
    </row>
    <row r="138" spans="1:15" x14ac:dyDescent="0.2">
      <c r="A138" s="46"/>
      <c r="B138" s="46"/>
      <c r="C138" s="46"/>
      <c r="D138" s="46"/>
      <c r="E138" s="46"/>
      <c r="F138" s="46"/>
      <c r="G138" s="94"/>
      <c r="H138" s="46"/>
      <c r="I138" s="46"/>
      <c r="J138" s="46"/>
      <c r="K138" s="46"/>
      <c r="L138" s="46"/>
      <c r="M138" s="46"/>
      <c r="N138" s="46"/>
      <c r="O138" s="46"/>
    </row>
    <row r="139" spans="1:15" x14ac:dyDescent="0.2">
      <c r="A139" s="46"/>
      <c r="B139" s="46"/>
      <c r="C139" s="46"/>
      <c r="D139" s="46"/>
      <c r="E139" s="46"/>
      <c r="F139" s="46"/>
      <c r="G139" s="94"/>
      <c r="H139" s="46"/>
      <c r="I139" s="46"/>
      <c r="J139" s="46"/>
      <c r="K139" s="46"/>
      <c r="L139" s="46"/>
      <c r="M139" s="46"/>
      <c r="N139" s="46"/>
      <c r="O139" s="46"/>
    </row>
    <row r="140" spans="1:15" x14ac:dyDescent="0.2">
      <c r="A140" s="46"/>
      <c r="B140" s="46"/>
      <c r="C140" s="46"/>
      <c r="D140" s="46"/>
      <c r="E140" s="46"/>
      <c r="F140" s="46"/>
      <c r="G140" s="94"/>
      <c r="H140" s="46"/>
      <c r="I140" s="46"/>
      <c r="J140" s="46"/>
      <c r="K140" s="46"/>
      <c r="L140" s="46"/>
      <c r="M140" s="46"/>
      <c r="N140" s="46"/>
      <c r="O140" s="46"/>
    </row>
    <row r="141" spans="1:15" x14ac:dyDescent="0.2">
      <c r="A141" s="46"/>
      <c r="B141" s="46"/>
      <c r="C141" s="46"/>
      <c r="D141" s="46"/>
      <c r="E141" s="46"/>
      <c r="F141" s="46"/>
      <c r="G141" s="94"/>
      <c r="H141" s="46"/>
      <c r="I141" s="46"/>
      <c r="J141" s="46"/>
      <c r="K141" s="46"/>
      <c r="L141" s="46"/>
      <c r="M141" s="46"/>
      <c r="N141" s="46"/>
      <c r="O141" s="46"/>
    </row>
    <row r="142" spans="1:15" x14ac:dyDescent="0.2">
      <c r="A142" s="46"/>
      <c r="B142" s="46"/>
      <c r="C142" s="46"/>
      <c r="D142" s="46"/>
      <c r="E142" s="46"/>
      <c r="F142" s="46"/>
      <c r="G142" s="94"/>
      <c r="H142" s="46"/>
      <c r="I142" s="46"/>
      <c r="J142" s="46"/>
      <c r="K142" s="46"/>
      <c r="L142" s="46"/>
      <c r="M142" s="46"/>
      <c r="N142" s="46"/>
      <c r="O142" s="46"/>
    </row>
    <row r="143" spans="1:15" x14ac:dyDescent="0.2">
      <c r="A143" s="46"/>
      <c r="B143" s="46"/>
      <c r="C143" s="46"/>
      <c r="D143" s="46"/>
      <c r="E143" s="46"/>
      <c r="F143" s="46"/>
      <c r="G143" s="94"/>
      <c r="H143" s="46"/>
      <c r="I143" s="46"/>
      <c r="J143" s="46"/>
      <c r="K143" s="46"/>
      <c r="L143" s="46"/>
      <c r="M143" s="46"/>
      <c r="N143" s="46"/>
      <c r="O143" s="46"/>
    </row>
    <row r="144" spans="1:15" x14ac:dyDescent="0.2">
      <c r="A144" s="46"/>
      <c r="B144" s="46"/>
      <c r="C144" s="46"/>
      <c r="D144" s="46"/>
      <c r="E144" s="46"/>
      <c r="F144" s="46"/>
      <c r="G144" s="94"/>
      <c r="H144" s="46"/>
      <c r="I144" s="46"/>
      <c r="J144" s="46"/>
      <c r="K144" s="46"/>
      <c r="L144" s="46"/>
      <c r="M144" s="46"/>
      <c r="N144" s="46"/>
      <c r="O144" s="46"/>
    </row>
    <row r="145" spans="1:15" x14ac:dyDescent="0.2">
      <c r="A145" s="46"/>
      <c r="B145" s="46"/>
      <c r="C145" s="46"/>
      <c r="D145" s="46"/>
      <c r="E145" s="46"/>
      <c r="F145" s="46"/>
      <c r="G145" s="94"/>
      <c r="H145" s="46"/>
      <c r="I145" s="46"/>
      <c r="J145" s="46"/>
      <c r="K145" s="46"/>
      <c r="L145" s="46"/>
      <c r="M145" s="46"/>
      <c r="N145" s="46"/>
      <c r="O145" s="46"/>
    </row>
    <row r="146" spans="1:15" x14ac:dyDescent="0.2">
      <c r="A146" s="46"/>
      <c r="B146" s="46"/>
      <c r="C146" s="46"/>
      <c r="D146" s="46"/>
      <c r="E146" s="46"/>
      <c r="F146" s="46"/>
      <c r="G146" s="94"/>
      <c r="H146" s="46"/>
      <c r="I146" s="46"/>
      <c r="J146" s="46"/>
      <c r="K146" s="46"/>
      <c r="L146" s="46"/>
      <c r="M146" s="46"/>
      <c r="N146" s="46"/>
      <c r="O146" s="46"/>
    </row>
    <row r="147" spans="1:15" x14ac:dyDescent="0.2">
      <c r="A147" s="46"/>
      <c r="B147" s="46"/>
      <c r="C147" s="46"/>
      <c r="D147" s="46"/>
      <c r="E147" s="46"/>
      <c r="F147" s="46"/>
      <c r="G147" s="94"/>
      <c r="H147" s="46"/>
      <c r="I147" s="46"/>
      <c r="J147" s="46"/>
      <c r="K147" s="46"/>
      <c r="L147" s="46"/>
      <c r="M147" s="46"/>
      <c r="N147" s="46"/>
      <c r="O147" s="46"/>
    </row>
    <row r="148" spans="1:15" x14ac:dyDescent="0.2">
      <c r="A148" s="46"/>
      <c r="B148" s="46"/>
      <c r="C148" s="46"/>
      <c r="D148" s="46"/>
      <c r="E148" s="46"/>
      <c r="F148" s="46"/>
      <c r="G148" s="94"/>
      <c r="H148" s="46"/>
      <c r="I148" s="46"/>
      <c r="J148" s="46"/>
      <c r="K148" s="46"/>
      <c r="L148" s="46"/>
      <c r="M148" s="46"/>
      <c r="N148" s="46"/>
      <c r="O148" s="46"/>
    </row>
    <row r="149" spans="1:15" x14ac:dyDescent="0.2">
      <c r="A149" s="46"/>
      <c r="B149" s="46"/>
      <c r="C149" s="46"/>
      <c r="D149" s="46"/>
      <c r="E149" s="46"/>
      <c r="F149" s="46"/>
      <c r="G149" s="94"/>
      <c r="H149" s="46"/>
      <c r="I149" s="46"/>
      <c r="J149" s="46"/>
      <c r="K149" s="46"/>
      <c r="L149" s="46"/>
      <c r="M149" s="46"/>
      <c r="N149" s="46"/>
      <c r="O149" s="46"/>
    </row>
    <row r="150" spans="1:15" x14ac:dyDescent="0.2">
      <c r="A150" s="46"/>
      <c r="B150" s="46"/>
      <c r="C150" s="46"/>
      <c r="D150" s="46"/>
      <c r="E150" s="46"/>
      <c r="F150" s="46"/>
      <c r="G150" s="94"/>
      <c r="H150" s="46"/>
      <c r="I150" s="46"/>
      <c r="J150" s="46"/>
      <c r="K150" s="46"/>
      <c r="L150" s="46"/>
      <c r="M150" s="46"/>
      <c r="N150" s="46"/>
      <c r="O150" s="46"/>
    </row>
    <row r="151" spans="1:15" x14ac:dyDescent="0.2">
      <c r="A151" s="46"/>
      <c r="B151" s="46"/>
      <c r="C151" s="46"/>
      <c r="D151" s="46"/>
      <c r="E151" s="46"/>
      <c r="F151" s="46"/>
      <c r="G151" s="94"/>
      <c r="H151" s="46"/>
      <c r="I151" s="46"/>
      <c r="J151" s="46"/>
      <c r="K151" s="46"/>
      <c r="L151" s="46"/>
      <c r="M151" s="46"/>
      <c r="N151" s="46"/>
      <c r="O151" s="46"/>
    </row>
    <row r="152" spans="1:15" x14ac:dyDescent="0.2">
      <c r="A152" s="46"/>
      <c r="B152" s="46"/>
      <c r="C152" s="46"/>
      <c r="D152" s="46"/>
      <c r="E152" s="46"/>
      <c r="F152" s="46"/>
      <c r="G152" s="94"/>
      <c r="H152" s="46"/>
      <c r="I152" s="46"/>
      <c r="J152" s="46"/>
      <c r="K152" s="46"/>
      <c r="L152" s="46"/>
      <c r="M152" s="46"/>
      <c r="N152" s="46"/>
      <c r="O152" s="46"/>
    </row>
    <row r="153" spans="1:15" x14ac:dyDescent="0.2">
      <c r="A153" s="46"/>
      <c r="B153" s="46"/>
      <c r="C153" s="46"/>
      <c r="D153" s="46"/>
      <c r="E153" s="46"/>
      <c r="F153" s="46"/>
      <c r="G153" s="94"/>
      <c r="H153" s="46"/>
      <c r="I153" s="46"/>
      <c r="J153" s="46"/>
      <c r="K153" s="46"/>
      <c r="L153" s="46"/>
      <c r="M153" s="46"/>
      <c r="N153" s="46"/>
      <c r="O153" s="46"/>
    </row>
    <row r="154" spans="1:15" x14ac:dyDescent="0.2">
      <c r="A154" s="46"/>
      <c r="B154" s="46"/>
      <c r="C154" s="46"/>
      <c r="D154" s="46"/>
      <c r="E154" s="46"/>
      <c r="F154" s="46"/>
      <c r="G154" s="94"/>
      <c r="H154" s="46"/>
      <c r="I154" s="46"/>
      <c r="J154" s="46"/>
      <c r="K154" s="46"/>
      <c r="L154" s="46"/>
      <c r="M154" s="46"/>
      <c r="N154" s="46"/>
      <c r="O154" s="46"/>
    </row>
    <row r="155" spans="1:15" x14ac:dyDescent="0.2">
      <c r="A155" s="46"/>
      <c r="B155" s="46"/>
      <c r="C155" s="46"/>
      <c r="D155" s="46"/>
      <c r="E155" s="46"/>
      <c r="F155" s="46"/>
      <c r="G155" s="94"/>
      <c r="H155" s="46"/>
      <c r="I155" s="46"/>
      <c r="J155" s="46"/>
      <c r="K155" s="46"/>
      <c r="L155" s="46"/>
      <c r="M155" s="46"/>
      <c r="N155" s="46"/>
      <c r="O155" s="46"/>
    </row>
    <row r="156" spans="1:15" x14ac:dyDescent="0.2">
      <c r="A156" s="46"/>
      <c r="B156" s="46"/>
      <c r="C156" s="46"/>
      <c r="D156" s="46"/>
      <c r="E156" s="46"/>
      <c r="F156" s="46"/>
      <c r="G156" s="94"/>
      <c r="H156" s="46"/>
      <c r="I156" s="46"/>
      <c r="J156" s="46"/>
      <c r="K156" s="46"/>
      <c r="L156" s="46"/>
      <c r="M156" s="46"/>
      <c r="N156" s="46"/>
      <c r="O156" s="46"/>
    </row>
    <row r="157" spans="1:15" x14ac:dyDescent="0.2">
      <c r="A157" s="46"/>
      <c r="B157" s="46"/>
      <c r="C157" s="46"/>
      <c r="D157" s="46"/>
      <c r="E157" s="46"/>
      <c r="F157" s="46"/>
      <c r="G157" s="94"/>
      <c r="H157" s="46"/>
      <c r="I157" s="46"/>
      <c r="J157" s="46"/>
      <c r="K157" s="46"/>
      <c r="L157" s="46"/>
      <c r="M157" s="46"/>
      <c r="N157" s="46"/>
      <c r="O157" s="46"/>
    </row>
    <row r="158" spans="1:15" x14ac:dyDescent="0.2">
      <c r="A158" s="46"/>
      <c r="B158" s="46"/>
      <c r="C158" s="46"/>
      <c r="D158" s="46"/>
      <c r="E158" s="46"/>
      <c r="F158" s="46"/>
      <c r="G158" s="94"/>
      <c r="H158" s="46"/>
      <c r="I158" s="46"/>
      <c r="J158" s="46"/>
      <c r="K158" s="46"/>
      <c r="L158" s="46"/>
      <c r="M158" s="46"/>
      <c r="N158" s="46"/>
      <c r="O158" s="46"/>
    </row>
    <row r="159" spans="1:15" x14ac:dyDescent="0.2">
      <c r="A159" s="46"/>
      <c r="B159" s="46"/>
      <c r="C159" s="46"/>
      <c r="D159" s="46"/>
      <c r="E159" s="46"/>
      <c r="F159" s="46"/>
      <c r="G159" s="94"/>
      <c r="H159" s="46"/>
      <c r="I159" s="46"/>
      <c r="J159" s="46"/>
      <c r="K159" s="46"/>
      <c r="L159" s="46"/>
      <c r="M159" s="46"/>
      <c r="N159" s="46"/>
      <c r="O159" s="46"/>
    </row>
    <row r="160" spans="1:15" x14ac:dyDescent="0.2">
      <c r="A160" s="46"/>
      <c r="B160" s="46"/>
      <c r="C160" s="46"/>
      <c r="D160" s="46"/>
      <c r="E160" s="46"/>
      <c r="F160" s="46"/>
      <c r="G160" s="94"/>
      <c r="H160" s="46"/>
      <c r="I160" s="46"/>
      <c r="J160" s="46"/>
      <c r="K160" s="46"/>
      <c r="L160" s="46"/>
      <c r="M160" s="46"/>
      <c r="N160" s="46"/>
      <c r="O160" s="46"/>
    </row>
    <row r="161" spans="1:15" x14ac:dyDescent="0.2">
      <c r="A161" s="46"/>
      <c r="B161" s="46"/>
      <c r="C161" s="46"/>
      <c r="D161" s="46"/>
      <c r="E161" s="46"/>
      <c r="F161" s="46"/>
      <c r="G161" s="94"/>
      <c r="H161" s="46"/>
      <c r="I161" s="46"/>
      <c r="J161" s="46"/>
      <c r="K161" s="46"/>
      <c r="L161" s="46"/>
      <c r="M161" s="46"/>
      <c r="N161" s="46"/>
      <c r="O161" s="46"/>
    </row>
    <row r="162" spans="1:15" x14ac:dyDescent="0.2">
      <c r="A162" s="46"/>
      <c r="B162" s="46"/>
      <c r="C162" s="46"/>
      <c r="D162" s="46"/>
      <c r="E162" s="46"/>
      <c r="F162" s="46"/>
      <c r="G162" s="94"/>
      <c r="H162" s="46"/>
      <c r="I162" s="46"/>
      <c r="J162" s="46"/>
      <c r="K162" s="46"/>
      <c r="L162" s="46"/>
      <c r="M162" s="46"/>
      <c r="N162" s="46"/>
      <c r="O162" s="46"/>
    </row>
    <row r="163" spans="1:15" x14ac:dyDescent="0.2">
      <c r="A163" s="46"/>
      <c r="B163" s="46"/>
      <c r="C163" s="46"/>
      <c r="D163" s="46"/>
      <c r="E163" s="46"/>
      <c r="F163" s="46"/>
      <c r="G163" s="94"/>
      <c r="H163" s="46"/>
      <c r="I163" s="46"/>
      <c r="J163" s="46"/>
      <c r="K163" s="46"/>
      <c r="L163" s="46"/>
      <c r="M163" s="46"/>
      <c r="N163" s="46"/>
      <c r="O163" s="46"/>
    </row>
    <row r="164" spans="1:15" x14ac:dyDescent="0.2">
      <c r="A164" s="46"/>
      <c r="B164" s="46"/>
      <c r="C164" s="46"/>
      <c r="D164" s="46"/>
      <c r="E164" s="46"/>
      <c r="F164" s="46"/>
      <c r="G164" s="94"/>
      <c r="H164" s="46"/>
      <c r="I164" s="46"/>
      <c r="J164" s="46"/>
      <c r="K164" s="46"/>
      <c r="L164" s="46"/>
      <c r="M164" s="46"/>
      <c r="N164" s="46"/>
      <c r="O164" s="46"/>
    </row>
    <row r="165" spans="1:15" x14ac:dyDescent="0.2">
      <c r="A165" s="46"/>
      <c r="B165" s="46"/>
      <c r="C165" s="46"/>
      <c r="D165" s="46"/>
      <c r="E165" s="46"/>
      <c r="F165" s="46"/>
      <c r="G165" s="94"/>
      <c r="H165" s="46"/>
      <c r="I165" s="46"/>
      <c r="J165" s="46"/>
      <c r="K165" s="46"/>
      <c r="L165" s="46"/>
      <c r="M165" s="46"/>
      <c r="N165" s="46"/>
      <c r="O165" s="46"/>
    </row>
    <row r="166" spans="1:15" x14ac:dyDescent="0.2">
      <c r="A166" s="46"/>
      <c r="B166" s="46"/>
      <c r="C166" s="46"/>
      <c r="D166" s="46"/>
      <c r="E166" s="46"/>
      <c r="F166" s="46"/>
      <c r="G166" s="94"/>
      <c r="H166" s="46"/>
      <c r="I166" s="46"/>
      <c r="J166" s="46"/>
      <c r="K166" s="46"/>
      <c r="L166" s="46"/>
      <c r="M166" s="46"/>
      <c r="N166" s="46"/>
      <c r="O166" s="46"/>
    </row>
    <row r="167" spans="1:15" x14ac:dyDescent="0.2">
      <c r="A167" s="46"/>
      <c r="B167" s="46"/>
      <c r="C167" s="46"/>
      <c r="D167" s="46"/>
      <c r="E167" s="46"/>
      <c r="F167" s="46"/>
      <c r="G167" s="94"/>
      <c r="H167" s="46"/>
      <c r="I167" s="46"/>
      <c r="J167" s="46"/>
      <c r="K167" s="46"/>
      <c r="L167" s="46"/>
      <c r="M167" s="46"/>
      <c r="N167" s="46"/>
      <c r="O167" s="46"/>
    </row>
  </sheetData>
  <mergeCells count="11">
    <mergeCell ref="A124:B124"/>
    <mergeCell ref="A99:O99"/>
    <mergeCell ref="A101:B101"/>
    <mergeCell ref="A110:B110"/>
    <mergeCell ref="A117:B117"/>
    <mergeCell ref="A2:O2"/>
    <mergeCell ref="A6:B6"/>
    <mergeCell ref="B9:C9"/>
    <mergeCell ref="A3:D3"/>
    <mergeCell ref="E3:H3"/>
    <mergeCell ref="M3:N3"/>
  </mergeCells>
  <phoneticPr fontId="2" type="noConversion"/>
  <conditionalFormatting sqref="G4">
    <cfRule type="expression" dxfId="0" priority="1">
      <formula>ROW(G4)=AR</formula>
    </cfRule>
  </conditionalFormatting>
  <hyperlinks>
    <hyperlink ref="A8" r:id="rId1" display="https://store.ti.com/DRV8836DSSR.aspx"/>
    <hyperlink ref="A7" r:id="rId2"/>
    <hyperlink ref="A5" r:id="rId3"/>
    <hyperlink ref="A12" r:id="rId4"/>
    <hyperlink ref="A13" r:id="rId5"/>
  </hyperlinks>
  <pageMargins left="0.75" right="0.75" top="1" bottom="1" header="0.5" footer="0.5"/>
  <pageSetup paperSize="9" scale="80" orientation="landscape" horizontalDpi="4294967293" verticalDpi="1200" r:id="rId6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Intermouse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Szayerg</cp:lastModifiedBy>
  <dcterms:created xsi:type="dcterms:W3CDTF">1997-01-17T14:02:09Z</dcterms:created>
  <dcterms:modified xsi:type="dcterms:W3CDTF">2017-04-25T10:46:15Z</dcterms:modified>
</cp:coreProperties>
</file>